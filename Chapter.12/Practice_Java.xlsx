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yokan\study\Practice_Java\Chapter.12\"/>
    </mc:Choice>
  </mc:AlternateContent>
  <xr:revisionPtr revIDLastSave="0" documentId="13_ncr:1_{0466F5B4-7210-482B-8AC2-706F955A09A4}" xr6:coauthVersionLast="47" xr6:coauthVersionMax="47" xr10:uidLastSave="{00000000-0000-0000-0000-000000000000}"/>
  <bookViews>
    <workbookView xWindow="2940" yWindow="1860" windowWidth="21345" windowHeight="13620" xr2:uid="{00000000-000D-0000-FFFF-FFFF00000000}"/>
  </bookViews>
  <sheets>
    <sheet name="Sheet1" sheetId="1" r:id="rId1"/>
  </sheets>
  <definedNames>
    <definedName name="_xlnm.Print_Area" localSheetId="0">Sheet1!$B$2:$F$84</definedName>
    <definedName name="_xlnm.Print_Titles" localSheetId="0">Sheet1!$2:$4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4" i="1" l="1"/>
  <c r="E13" i="1"/>
  <c r="E12" i="1"/>
  <c r="E11" i="1"/>
  <c r="E10" i="1"/>
  <c r="E9" i="1"/>
  <c r="E8" i="1"/>
  <c r="E7" i="1"/>
  <c r="E6" i="1"/>
  <c r="E5" i="1"/>
  <c r="E84"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15" i="1"/>
  <c r="E3" i="1" l="1"/>
</calcChain>
</file>

<file path=xl/sharedStrings.xml><?xml version="1.0" encoding="utf-8"?>
<sst xmlns="http://schemas.openxmlformats.org/spreadsheetml/2006/main" count="202" uniqueCount="58">
  <si>
    <t>第12章　総仕上げ問題①</t>
    <rPh sb="0" eb="1">
      <t>ダイ</t>
    </rPh>
    <rPh sb="3" eb="4">
      <t>ショウ</t>
    </rPh>
    <rPh sb="5" eb="8">
      <t>ソウシア</t>
    </rPh>
    <rPh sb="9" eb="11">
      <t>モンダイ</t>
    </rPh>
    <phoneticPr fontId="1"/>
  </si>
  <si>
    <t>No.</t>
    <phoneticPr fontId="1"/>
  </si>
  <si>
    <t>答え</t>
    <rPh sb="0" eb="1">
      <t>コタ</t>
    </rPh>
    <phoneticPr fontId="1"/>
  </si>
  <si>
    <t>正答</t>
    <rPh sb="0" eb="2">
      <t>セイトウ</t>
    </rPh>
    <phoneticPr fontId="1"/>
  </si>
  <si>
    <t>メモ</t>
    <phoneticPr fontId="1"/>
  </si>
  <si>
    <t>時間：80問180分　2.25分/問</t>
    <rPh sb="0" eb="2">
      <t>ジカン</t>
    </rPh>
    <rPh sb="5" eb="6">
      <t>モン</t>
    </rPh>
    <rPh sb="9" eb="10">
      <t>フン</t>
    </rPh>
    <rPh sb="15" eb="16">
      <t>フン</t>
    </rPh>
    <rPh sb="17" eb="18">
      <t>モン</t>
    </rPh>
    <phoneticPr fontId="1"/>
  </si>
  <si>
    <t>D</t>
    <phoneticPr fontId="1"/>
  </si>
  <si>
    <t>A</t>
    <phoneticPr fontId="1"/>
  </si>
  <si>
    <t>B</t>
    <phoneticPr fontId="1"/>
  </si>
  <si>
    <t>E</t>
    <phoneticPr fontId="1"/>
  </si>
  <si>
    <t>Supplierはreturnが必要では？</t>
    <rPh sb="16" eb="18">
      <t>ヒツヨウ</t>
    </rPh>
    <phoneticPr fontId="1"/>
  </si>
  <si>
    <t>C</t>
    <phoneticPr fontId="1"/>
  </si>
  <si>
    <t>Dはextends BでOK。Cは何それ。AはclassBできってるから。</t>
    <rPh sb="17" eb="18">
      <t>ナニ</t>
    </rPh>
    <phoneticPr fontId="1"/>
  </si>
  <si>
    <t>A,D</t>
    <phoneticPr fontId="1"/>
  </si>
  <si>
    <t>B,E</t>
    <phoneticPr fontId="1"/>
  </si>
  <si>
    <t>どちらもexpotsが無い。→問題文見落とし。</t>
    <rPh sb="11" eb="12">
      <t>ナ</t>
    </rPh>
    <rPh sb="15" eb="17">
      <t>モンダイ</t>
    </rPh>
    <rPh sb="17" eb="18">
      <t>ブン</t>
    </rPh>
    <rPh sb="18" eb="20">
      <t>ミオ</t>
    </rPh>
    <phoneticPr fontId="1"/>
  </si>
  <si>
    <t>.*がサブクラスも含むと考える。→含まなかった・・・。→importは、完全修飾クラス名か、ワイルドカード。サブクラスは含まれない。</t>
    <rPh sb="9" eb="10">
      <t>フク</t>
    </rPh>
    <rPh sb="12" eb="13">
      <t>カンガ</t>
    </rPh>
    <rPh sb="17" eb="18">
      <t>フク</t>
    </rPh>
    <rPh sb="36" eb="38">
      <t>カンゼン</t>
    </rPh>
    <rPh sb="38" eb="40">
      <t>シュウショク</t>
    </rPh>
    <rPh sb="43" eb="44">
      <t>メイ</t>
    </rPh>
    <rPh sb="60" eb="61">
      <t>フク</t>
    </rPh>
    <phoneticPr fontId="1"/>
  </si>
  <si>
    <r>
      <t>〇</t>
    </r>
    <r>
      <rPr>
        <sz val="11"/>
        <color theme="1"/>
        <rFont val="Segoe UI Symbol"/>
        <family val="2"/>
      </rPr>
      <t>✕</t>
    </r>
    <phoneticPr fontId="1"/>
  </si>
  <si>
    <t>正答率</t>
    <rPh sb="0" eb="3">
      <t>セイトウリツ</t>
    </rPh>
    <phoneticPr fontId="1"/>
  </si>
  <si>
    <t>defと20の間の空白は何？</t>
    <rPh sb="7" eb="8">
      <t>アイダ</t>
    </rPh>
    <rPh sb="9" eb="11">
      <t>クウハク</t>
    </rPh>
    <rPh sb="12" eb="13">
      <t>ナニ</t>
    </rPh>
    <phoneticPr fontId="1"/>
  </si>
  <si>
    <t>A,B</t>
    <phoneticPr fontId="1"/>
  </si>
  <si>
    <t>A,E</t>
    <phoneticPr fontId="1"/>
  </si>
  <si>
    <t>testメソッドの引数が異なる。</t>
    <rPh sb="9" eb="11">
      <t>ヒキスウ</t>
    </rPh>
    <rPh sb="12" eb="13">
      <t>コト</t>
    </rPh>
    <phoneticPr fontId="1"/>
  </si>
  <si>
    <r>
      <t xml:space="preserve">// A. ローカル変数は、finalを付けて宣言できる。
// → 〇 ： 変更（再代入）はできない。
// B. インタフェースは、protectedを付けて宣言できる。
// → </t>
    </r>
    <r>
      <rPr>
        <sz val="11"/>
        <color theme="1"/>
        <rFont val="Segoe UI Symbol"/>
        <family val="2"/>
      </rPr>
      <t>✕</t>
    </r>
    <r>
      <rPr>
        <sz val="11"/>
        <color theme="1"/>
        <rFont val="Yu Gothic"/>
        <family val="2"/>
        <scheme val="minor"/>
      </rPr>
      <t xml:space="preserve"> ： できません。only public, private, abstract, default, static and strictfpと
// エラーメッセージが言ってます。
// C. インスタンス変数はstaticを付けて宣言できる。
// → </t>
    </r>
    <r>
      <rPr>
        <sz val="11"/>
        <color theme="1"/>
        <rFont val="Segoe UI Symbol"/>
        <family val="2"/>
      </rPr>
      <t>✕</t>
    </r>
    <r>
      <rPr>
        <sz val="11"/>
        <color theme="1"/>
        <rFont val="Yu Gothic"/>
        <family val="2"/>
        <scheme val="minor"/>
      </rPr>
      <t xml:space="preserve"> ： できません。static付けた時点でインスタンス変数ではなくなります。
// D. 抽象メソッドは、privateを付けて宣言できる。
// → </t>
    </r>
    <r>
      <rPr>
        <sz val="11"/>
        <color theme="1"/>
        <rFont val="Segoe UI Symbol"/>
        <family val="2"/>
      </rPr>
      <t>✕</t>
    </r>
    <r>
      <rPr>
        <sz val="11"/>
        <color theme="1"/>
        <rFont val="Yu Gothic"/>
        <family val="2"/>
        <scheme val="minor"/>
      </rPr>
      <t xml:space="preserve"> ： できません。それだと実装できなくなります。
// E. インナークラスは、publicを付けて宣言できる。
// → 〇 ： できます。</t>
    </r>
    <phoneticPr fontId="1"/>
  </si>
  <si>
    <t>build指定はjavacかな。JavacはA,B,C,DもOK。
Aは、javac ex15/Sample.java ex15/Main.javaで同じdirにclassは作るが、java -cp build ex15.Mainでbuildを指定されてもNG。Bは、javac -d build ex15/Sample.java ex15/Main.javaでbuild配下に作成。java -cp build ex15.Mainで動く。Cは、java ex15.Main でbuild配下でないのでNG。Dは、java build.ex15.Main でNG。</t>
    <rPh sb="5" eb="7">
      <t>シテイ</t>
    </rPh>
    <rPh sb="75" eb="76">
      <t>オナ</t>
    </rPh>
    <rPh sb="87" eb="88">
      <t>ツク</t>
    </rPh>
    <rPh sb="122" eb="124">
      <t>シテイ</t>
    </rPh>
    <rPh sb="186" eb="188">
      <t>ハイカ</t>
    </rPh>
    <rPh sb="189" eb="191">
      <t>サクセイ</t>
    </rPh>
    <rPh sb="217" eb="218">
      <t>ウゴ</t>
    </rPh>
    <rPh sb="244" eb="246">
      <t>ハイカ</t>
    </rPh>
    <phoneticPr fontId="1"/>
  </si>
  <si>
    <t>Aはjmod作るとき。Cは実行時。Dはjarファイル作るとき。→問題文見落とし
&gt;jdeps AppService.class
AppService.class -&gt; java.base
AppService.class -&gt; 見つかりません
   app　-&gt; function　見つかりません
   app　-&gt; java.io　 java.base
   app　-&gt; java.lang                                          java.base</t>
    <rPh sb="6" eb="7">
      <t>ツク</t>
    </rPh>
    <rPh sb="13" eb="16">
      <t>ジッコウジ</t>
    </rPh>
    <rPh sb="26" eb="27">
      <t>ツク</t>
    </rPh>
    <rPh sb="32" eb="34">
      <t>モンダイ</t>
    </rPh>
    <rPh sb="34" eb="35">
      <t>ブン</t>
    </rPh>
    <rPh sb="35" eb="37">
      <t>ミオ</t>
    </rPh>
    <phoneticPr fontId="1"/>
  </si>
  <si>
    <t>配列の切り方と設定の仕方</t>
    <rPh sb="0" eb="2">
      <t>ハイレツ</t>
    </rPh>
    <rPh sb="3" eb="4">
      <t>キ</t>
    </rPh>
    <rPh sb="5" eb="6">
      <t>カタ</t>
    </rPh>
    <rPh sb="7" eb="9">
      <t>セッテイ</t>
    </rPh>
    <rPh sb="10" eb="12">
      <t>シカタ</t>
    </rPh>
    <phoneticPr fontId="1"/>
  </si>
  <si>
    <t>A,B,E</t>
    <phoneticPr fontId="1"/>
  </si>
  <si>
    <t>A,C,E</t>
    <phoneticPr fontId="1"/>
  </si>
  <si>
    <t>a2.sample(list);を実行すると、Bが表示される。インスタンスをA型として扱っていたとしてもBクラスでオーバーライドしたメソッドが実行される。また、引数に互換性がある場合、より厳密なほうを選択する。</t>
    <rPh sb="39" eb="40">
      <t>ガタ</t>
    </rPh>
    <rPh sb="43" eb="44">
      <t>アツカ</t>
    </rPh>
    <rPh sb="71" eb="73">
      <t>ジッコウ</t>
    </rPh>
    <rPh sb="80" eb="82">
      <t>ヒキスウ</t>
    </rPh>
    <rPh sb="83" eb="86">
      <t>ゴカンセイ</t>
    </rPh>
    <rPh sb="89" eb="91">
      <t>バアイ</t>
    </rPh>
    <rPh sb="94" eb="96">
      <t>ゲンミツ</t>
    </rPh>
    <rPh sb="100" eb="102">
      <t>センタク</t>
    </rPh>
    <phoneticPr fontId="1"/>
  </si>
  <si>
    <t>菱形継承問題。B,Cどちらか判定できず。</t>
    <rPh sb="0" eb="6">
      <t>ヒシガタケイショウモンダイ</t>
    </rPh>
    <rPh sb="14" eb="16">
      <t>ハンテイ</t>
    </rPh>
    <phoneticPr fontId="1"/>
  </si>
  <si>
    <t>実装じゃなく、オーバーロードですよ。それ。</t>
    <rPh sb="0" eb="2">
      <t>ジッソウ</t>
    </rPh>
    <phoneticPr fontId="1"/>
  </si>
  <si>
    <t>A: O  B:O C:O D:x E:O。Dのみ上位→下位。</t>
    <rPh sb="25" eb="27">
      <t>ジョウイ</t>
    </rPh>
    <rPh sb="28" eb="30">
      <t>カイ</t>
    </rPh>
    <phoneticPr fontId="1"/>
  </si>
  <si>
    <t>A,E,F</t>
    <phoneticPr fontId="1"/>
  </si>
  <si>
    <t>インタフェース（公開する扱い方、インスタンス化できず、抽象メソッド）
A:　Aはfinalにできない。→　正しい（具象化するので・・・）
B:　Bはabstractにできない。→　正しい（インスタンス生成してる→抽象不可）
C:　Bはfinalにできない。→　誤り（できる）。
D:    AはBのサブタイプである。　→　誤り
E:    Aはabstractにできない。　→　誤り（できる）。
F:    BはAのサブタイプである。　→　正しい。</t>
    <rPh sb="8" eb="10">
      <t>コウカイ</t>
    </rPh>
    <rPh sb="12" eb="13">
      <t>アツカ</t>
    </rPh>
    <rPh sb="14" eb="15">
      <t>カタ</t>
    </rPh>
    <rPh sb="22" eb="23">
      <t>カ</t>
    </rPh>
    <rPh sb="27" eb="29">
      <t>チュウショウ</t>
    </rPh>
    <rPh sb="54" eb="55">
      <t>タダ</t>
    </rPh>
    <rPh sb="58" eb="61">
      <t>グショウカ</t>
    </rPh>
    <rPh sb="109" eb="111">
      <t>フカ</t>
    </rPh>
    <rPh sb="131" eb="132">
      <t>アヤマ</t>
    </rPh>
    <rPh sb="162" eb="163">
      <t>アヤマ</t>
    </rPh>
    <rPh sb="190" eb="191">
      <t>アヤマ</t>
    </rPh>
    <rPh sb="221" eb="222">
      <t>タダ</t>
    </rPh>
    <phoneticPr fontId="1"/>
  </si>
  <si>
    <t>A,B,F</t>
    <phoneticPr fontId="1"/>
  </si>
  <si>
    <t>JREのモジュール jlink
jlinkでカスタムJREを作成しコンテナ・サイズを削減</t>
    <phoneticPr fontId="1"/>
  </si>
  <si>
    <t>// 32. 抽象クラスの定義として、正しいものを選びなさい（１つ選択）。
// B.メソッドにabstractがない。
// C.メソッドにabstractがない。
// finalは問題なし（printは抽象メソッドではない）。
// D.abstractで処理かいちゃあかん。</t>
    <phoneticPr fontId="1"/>
  </si>
  <si>
    <t>UnsupportedOperationException
List.ofはイミュータブル</t>
    <phoneticPr fontId="1"/>
  </si>
  <si>
    <t>privateなのでオーバーライドされていない。</t>
    <phoneticPr fontId="1"/>
  </si>
  <si>
    <t>C,E</t>
    <phoneticPr fontId="1"/>
  </si>
  <si>
    <t>国際標準規格 (ISO 8601)</t>
    <phoneticPr fontId="1"/>
  </si>
  <si>
    <t>フィールドはオーバライドされないため、A クラスのフィールドが参照されます。</t>
    <phoneticPr fontId="1"/>
  </si>
  <si>
    <t>なんですかこれ。</t>
    <phoneticPr fontId="1"/>
  </si>
  <si>
    <t>デフォルトコンストラクタ</t>
    <phoneticPr fontId="1"/>
  </si>
  <si>
    <t>setA,setB,setCは動きません。</t>
    <rPh sb="15" eb="16">
      <t>ウゴ</t>
    </rPh>
    <phoneticPr fontId="1"/>
  </si>
  <si>
    <t>A,C</t>
    <phoneticPr fontId="1"/>
  </si>
  <si>
    <t>try catch finally</t>
    <phoneticPr fontId="1"/>
  </si>
  <si>
    <t>A,B,D,F</t>
    <phoneticPr fontId="1"/>
  </si>
  <si>
    <t>サブクラスのcatchを先に書く</t>
    <rPh sb="12" eb="13">
      <t>サキ</t>
    </rPh>
    <rPh sb="14" eb="15">
      <t>カ</t>
    </rPh>
    <phoneticPr fontId="1"/>
  </si>
  <si>
    <t>凡ミス</t>
    <rPh sb="0" eb="1">
      <t>ボン</t>
    </rPh>
    <phoneticPr fontId="1"/>
  </si>
  <si>
    <t>最初のa+bは数値足して文字列、後ろのaはその前の文字列とくっつく。</t>
    <rPh sb="0" eb="2">
      <t>サイショ</t>
    </rPh>
    <rPh sb="7" eb="9">
      <t>スウチ</t>
    </rPh>
    <rPh sb="9" eb="10">
      <t>タ</t>
    </rPh>
    <rPh sb="12" eb="15">
      <t>モジレツ</t>
    </rPh>
    <rPh sb="16" eb="17">
      <t>ウシ</t>
    </rPh>
    <rPh sb="23" eb="24">
      <t>マエ</t>
    </rPh>
    <rPh sb="25" eb="28">
      <t>モジレツ</t>
    </rPh>
    <phoneticPr fontId="1"/>
  </si>
  <si>
    <t>コンスタントプール</t>
    <phoneticPr fontId="1"/>
  </si>
  <si>
    <t>例外、エラーが吐き出される。でもexceptionではなくerror</t>
    <rPh sb="0" eb="2">
      <t>レイガイ</t>
    </rPh>
    <rPh sb="7" eb="8">
      <t>ハ</t>
    </rPh>
    <rPh sb="9" eb="10">
      <t>ダ</t>
    </rPh>
    <phoneticPr fontId="1"/>
  </si>
  <si>
    <t>可変型変数は配列に。</t>
    <rPh sb="0" eb="3">
      <t>カヘンガタ</t>
    </rPh>
    <rPh sb="3" eb="5">
      <t>ヘンスウ</t>
    </rPh>
    <rPh sb="6" eb="8">
      <t>ハイレツ</t>
    </rPh>
    <phoneticPr fontId="1"/>
  </si>
  <si>
    <t xml:space="preserve">The substring begins at the specified start and extends to the character at index end - 1 or to the end of the sequence if no such character exists. </t>
    <phoneticPr fontId="1"/>
  </si>
  <si>
    <t>スーパークラスの型にサブクラスを代入したものであってもサブクラスのメソッド</t>
    <phoneticPr fontId="1"/>
  </si>
  <si>
    <t>public protected</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</si>
</sst>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3">
    <font>
      <sz val="11"/>
      <color theme="1"/>
      <name val="Yu Gothic"/>
      <family val="2"/>
      <scheme val="minor"/>
    </font>
    <font>
      <sz val="6"/>
      <name val="Yu Gothic"/>
      <family val="3"/>
      <charset val="128"/>
      <scheme val="minor"/>
    </font>
    <font>
      <sz val="11"/>
      <color theme="1"/>
      <name val="Segoe UI Symbol"/>
      <family val="2"/>
    </font>
  </fonts>
  <fills count="5">
    <fill>
      <patternFill patternType="none"/>
    </fill>
    <fill>
      <patternFill patternType="gray125"/>
    </fill>
    <fill>
      <patternFill patternType="solid">
        <fgColor theme="9" tint="0.79998168889431442"/>
        <bgColor indexed="64"/>
      </patternFill>
    </fill>
    <fill>
      <patternFill patternType="solid">
        <fgColor theme="5" tint="0.79998168889431442"/>
        <bgColor indexed="64"/>
      </patternFill>
    </fill>
    <fill>
      <patternFill patternType="solid">
        <fgColor theme="5" tint="0.59999389629810485"/>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style="double">
        <color indexed="64"/>
      </bottom>
      <diagonal/>
    </border>
    <border>
      <left style="thin">
        <color indexed="64"/>
      </left>
      <right style="thin">
        <color indexed="64"/>
      </right>
      <top style="thin">
        <color indexed="64"/>
      </top>
      <bottom style="medium">
        <color indexed="64"/>
      </bottom>
      <diagonal/>
    </border>
    <border>
      <left style="thin">
        <color indexed="64"/>
      </left>
      <right/>
      <top style="medium">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s>
  <cellStyleXfs count="1">
    <xf numFmtId="0" fontId="0" fillId="0" borderId="0"/>
  </cellStyleXfs>
  <cellXfs count="29">
    <xf numFmtId="0" fontId="0" fillId="0" borderId="0" xfId="0"/>
    <xf numFmtId="0" fontId="0" fillId="0" borderId="0" xfId="0" applyAlignment="1">
      <alignment horizontal="center"/>
    </xf>
    <xf numFmtId="0" fontId="0" fillId="0" borderId="1" xfId="0" applyBorder="1" applyAlignment="1">
      <alignment horizontal="center"/>
    </xf>
    <xf numFmtId="0" fontId="0" fillId="0" borderId="2" xfId="0" applyBorder="1"/>
    <xf numFmtId="0" fontId="0" fillId="0" borderId="4" xfId="0" applyBorder="1"/>
    <xf numFmtId="0" fontId="0" fillId="0" borderId="6" xfId="0" applyBorder="1"/>
    <xf numFmtId="0" fontId="0" fillId="0" borderId="8" xfId="0" applyBorder="1" applyAlignment="1">
      <alignment horizontal="center"/>
    </xf>
    <xf numFmtId="0" fontId="0" fillId="0" borderId="11" xfId="0" applyBorder="1" applyAlignment="1">
      <alignment horizontal="center"/>
    </xf>
    <xf numFmtId="0" fontId="0" fillId="0" borderId="10" xfId="0" applyBorder="1" applyAlignment="1">
      <alignment horizontal="center"/>
    </xf>
    <xf numFmtId="0" fontId="0" fillId="0" borderId="12" xfId="0" applyBorder="1" applyAlignment="1">
      <alignment horizontal="center"/>
    </xf>
    <xf numFmtId="0" fontId="0" fillId="2" borderId="11" xfId="0" applyFill="1" applyBorder="1" applyAlignment="1">
      <alignment horizontal="center"/>
    </xf>
    <xf numFmtId="0" fontId="0" fillId="2" borderId="10" xfId="0" applyFill="1" applyBorder="1" applyAlignment="1">
      <alignment horizontal="center"/>
    </xf>
    <xf numFmtId="0" fontId="0" fillId="2" borderId="1" xfId="0" applyFill="1" applyBorder="1" applyAlignment="1">
      <alignment horizontal="center"/>
    </xf>
    <xf numFmtId="0" fontId="0" fillId="2" borderId="12" xfId="0" applyFill="1" applyBorder="1" applyAlignment="1">
      <alignment horizontal="center"/>
    </xf>
    <xf numFmtId="0" fontId="0" fillId="3" borderId="1" xfId="0" applyFill="1" applyBorder="1" applyAlignment="1">
      <alignment horizontal="center"/>
    </xf>
    <xf numFmtId="0" fontId="0" fillId="0" borderId="0" xfId="0" applyAlignment="1">
      <alignment wrapText="1"/>
    </xf>
    <xf numFmtId="0" fontId="0" fillId="0" borderId="0" xfId="0" applyAlignment="1">
      <alignment horizontal="right" wrapText="1"/>
    </xf>
    <xf numFmtId="0" fontId="0" fillId="0" borderId="9" xfId="0" applyBorder="1" applyAlignment="1">
      <alignment horizontal="center" wrapText="1"/>
    </xf>
    <xf numFmtId="0" fontId="0" fillId="0" borderId="7" xfId="0" applyBorder="1" applyAlignment="1">
      <alignment wrapText="1"/>
    </xf>
    <xf numFmtId="0" fontId="0" fillId="0" borderId="3" xfId="0" applyBorder="1" applyAlignment="1">
      <alignment wrapText="1"/>
    </xf>
    <xf numFmtId="0" fontId="0" fillId="0" borderId="5" xfId="0" applyBorder="1" applyAlignment="1">
      <alignment wrapText="1"/>
    </xf>
    <xf numFmtId="0" fontId="0" fillId="0" borderId="13" xfId="0" applyBorder="1" applyAlignment="1">
      <alignment horizontal="center"/>
    </xf>
    <xf numFmtId="0" fontId="0" fillId="0" borderId="14" xfId="0" applyBorder="1" applyAlignment="1">
      <alignment horizontal="center"/>
    </xf>
    <xf numFmtId="0" fontId="0" fillId="0" borderId="15" xfId="0" applyBorder="1" applyAlignment="1">
      <alignment horizontal="center"/>
    </xf>
    <xf numFmtId="0" fontId="0" fillId="3" borderId="15" xfId="0" applyFill="1" applyBorder="1" applyAlignment="1">
      <alignment horizontal="center"/>
    </xf>
    <xf numFmtId="0" fontId="0" fillId="0" borderId="16" xfId="0" applyBorder="1" applyAlignment="1">
      <alignment horizontal="center"/>
    </xf>
    <xf numFmtId="176" fontId="0" fillId="0" borderId="0" xfId="0" applyNumberFormat="1" applyAlignment="1">
      <alignment horizontal="center"/>
    </xf>
    <xf numFmtId="0" fontId="0" fillId="4" borderId="1" xfId="0" applyFill="1" applyBorder="1" applyAlignment="1">
      <alignment horizontal="center"/>
    </xf>
    <xf numFmtId="0" fontId="0" fillId="4" borderId="15" xfId="0" applyFill="1" applyBorder="1" applyAlignment="1">
      <alignment horizontal="center"/>
    </xf>
  </cellXfs>
  <cellStyles count="1">
    <cellStyle name="標準" xfId="0" builtinId="0"/>
  </cellStyles>
  <dxfs count="3">
    <dxf>
      <fill>
        <patternFill>
          <bgColor theme="9" tint="0.59996337778862885"/>
        </patternFill>
      </fill>
    </dxf>
    <dxf>
      <fill>
        <patternFill>
          <bgColor theme="7" tint="0.59996337778862885"/>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1:F84"/>
  <sheetViews>
    <sheetView tabSelected="1" workbookViewId="0">
      <selection activeCell="D86" sqref="D86"/>
    </sheetView>
  </sheetViews>
  <sheetFormatPr defaultRowHeight="18.75"/>
  <cols>
    <col min="1" max="1" width="2.125" customWidth="1"/>
    <col min="3" max="5" width="10.625" style="1" customWidth="1"/>
    <col min="6" max="6" width="71.25" style="15" customWidth="1"/>
  </cols>
  <sheetData>
    <row r="1" spans="2:6" ht="12.75" customHeight="1"/>
    <row r="2" spans="2:6">
      <c r="B2" t="s">
        <v>0</v>
      </c>
    </row>
    <row r="3" spans="2:6" ht="19.5" thickBot="1">
      <c r="D3" s="1" t="s">
        <v>18</v>
      </c>
      <c r="E3" s="26">
        <f>COUNTIF(E5:E84,"〇")/(COUNTIF(E5:E84,"〇")+COUNTIF(E5:E84,"✕"))</f>
        <v>0.78749999999999998</v>
      </c>
      <c r="F3" s="16" t="s">
        <v>5</v>
      </c>
    </row>
    <row r="4" spans="2:6" ht="19.5" thickBot="1">
      <c r="B4" s="6" t="s">
        <v>1</v>
      </c>
      <c r="C4" s="10" t="s">
        <v>2</v>
      </c>
      <c r="D4" s="7" t="s">
        <v>3</v>
      </c>
      <c r="E4" s="21" t="s">
        <v>17</v>
      </c>
      <c r="F4" s="17" t="s">
        <v>4</v>
      </c>
    </row>
    <row r="5" spans="2:6" ht="19.5" thickTop="1">
      <c r="B5" s="5">
        <v>1</v>
      </c>
      <c r="C5" s="11" t="s">
        <v>6</v>
      </c>
      <c r="D5" s="8" t="s">
        <v>6</v>
      </c>
      <c r="E5" s="22" t="str">
        <f t="shared" ref="E5:E14" si="0">IF(C5="","",(IF(D5="","",IF(C5=D5,"〇","✕"))))</f>
        <v>〇</v>
      </c>
      <c r="F5" s="18"/>
    </row>
    <row r="6" spans="2:6">
      <c r="B6" s="3">
        <v>2</v>
      </c>
      <c r="C6" s="12" t="s">
        <v>7</v>
      </c>
      <c r="D6" s="2" t="s">
        <v>7</v>
      </c>
      <c r="E6" s="23" t="str">
        <f t="shared" si="0"/>
        <v>〇</v>
      </c>
      <c r="F6" s="19"/>
    </row>
    <row r="7" spans="2:6" ht="37.5">
      <c r="B7" s="3">
        <v>3</v>
      </c>
      <c r="C7" s="12" t="s">
        <v>8</v>
      </c>
      <c r="D7" s="14" t="s">
        <v>11</v>
      </c>
      <c r="E7" s="24" t="str">
        <f t="shared" si="0"/>
        <v>✕</v>
      </c>
      <c r="F7" s="19" t="s">
        <v>16</v>
      </c>
    </row>
    <row r="8" spans="2:6">
      <c r="B8" s="3">
        <v>4</v>
      </c>
      <c r="C8" s="12" t="s">
        <v>9</v>
      </c>
      <c r="D8" s="2" t="s">
        <v>9</v>
      </c>
      <c r="E8" s="23" t="str">
        <f t="shared" si="0"/>
        <v>〇</v>
      </c>
      <c r="F8" s="19" t="s">
        <v>10</v>
      </c>
    </row>
    <row r="9" spans="2:6">
      <c r="B9" s="3">
        <v>5</v>
      </c>
      <c r="C9" s="12" t="s">
        <v>11</v>
      </c>
      <c r="D9" s="2" t="s">
        <v>11</v>
      </c>
      <c r="E9" s="23" t="str">
        <f t="shared" si="0"/>
        <v>〇</v>
      </c>
      <c r="F9" s="19"/>
    </row>
    <row r="10" spans="2:6">
      <c r="B10" s="3">
        <v>6</v>
      </c>
      <c r="C10" s="12" t="s">
        <v>6</v>
      </c>
      <c r="D10" s="14" t="s">
        <v>13</v>
      </c>
      <c r="E10" s="24" t="str">
        <f t="shared" si="0"/>
        <v>✕</v>
      </c>
      <c r="F10" s="19" t="s">
        <v>15</v>
      </c>
    </row>
    <row r="11" spans="2:6">
      <c r="B11" s="3">
        <v>7</v>
      </c>
      <c r="C11" s="12" t="s">
        <v>11</v>
      </c>
      <c r="D11" s="2" t="s">
        <v>11</v>
      </c>
      <c r="E11" s="23" t="str">
        <f t="shared" si="0"/>
        <v>〇</v>
      </c>
      <c r="F11" s="19"/>
    </row>
    <row r="12" spans="2:6">
      <c r="B12" s="3">
        <v>8</v>
      </c>
      <c r="C12" s="12" t="s">
        <v>9</v>
      </c>
      <c r="D12" s="2" t="s">
        <v>9</v>
      </c>
      <c r="E12" s="23" t="str">
        <f t="shared" si="0"/>
        <v>〇</v>
      </c>
      <c r="F12" s="19"/>
    </row>
    <row r="13" spans="2:6" ht="131.25">
      <c r="B13" s="3">
        <v>9</v>
      </c>
      <c r="C13" s="12" t="s">
        <v>9</v>
      </c>
      <c r="D13" s="14" t="s">
        <v>14</v>
      </c>
      <c r="E13" s="24" t="str">
        <f t="shared" si="0"/>
        <v>✕</v>
      </c>
      <c r="F13" s="19" t="s">
        <v>25</v>
      </c>
    </row>
    <row r="14" spans="2:6">
      <c r="B14" s="3">
        <v>10</v>
      </c>
      <c r="C14" s="12" t="s">
        <v>8</v>
      </c>
      <c r="D14" s="2" t="s">
        <v>8</v>
      </c>
      <c r="E14" s="23" t="str">
        <f t="shared" si="0"/>
        <v>〇</v>
      </c>
      <c r="F14" s="19" t="s">
        <v>12</v>
      </c>
    </row>
    <row r="15" spans="2:6">
      <c r="B15" s="3">
        <v>11</v>
      </c>
      <c r="C15" s="12" t="s">
        <v>7</v>
      </c>
      <c r="D15" s="2" t="s">
        <v>7</v>
      </c>
      <c r="E15" s="23" t="str">
        <f>IF(C15="","",(IF(D15="","",IF(C15=D15,"〇","✕"))))</f>
        <v>〇</v>
      </c>
      <c r="F15" s="19"/>
    </row>
    <row r="16" spans="2:6">
      <c r="B16" s="3">
        <v>12</v>
      </c>
      <c r="C16" s="12" t="s">
        <v>6</v>
      </c>
      <c r="D16" s="2" t="s">
        <v>6</v>
      </c>
      <c r="E16" s="23" t="str">
        <f t="shared" ref="E16:E79" si="1">IF(C16="","",(IF(D16="","",IF(C16=D16,"〇","✕"))))</f>
        <v>〇</v>
      </c>
      <c r="F16" s="19"/>
    </row>
    <row r="17" spans="2:6">
      <c r="B17" s="3">
        <v>13</v>
      </c>
      <c r="C17" s="12" t="s">
        <v>8</v>
      </c>
      <c r="D17" s="14" t="s">
        <v>6</v>
      </c>
      <c r="E17" s="24" t="str">
        <f t="shared" si="1"/>
        <v>✕</v>
      </c>
      <c r="F17" s="19" t="s">
        <v>19</v>
      </c>
    </row>
    <row r="18" spans="2:6">
      <c r="B18" s="3">
        <v>14</v>
      </c>
      <c r="C18" s="12" t="s">
        <v>8</v>
      </c>
      <c r="D18" s="2" t="s">
        <v>8</v>
      </c>
      <c r="E18" s="23" t="str">
        <f t="shared" si="1"/>
        <v>〇</v>
      </c>
      <c r="F18" s="19"/>
    </row>
    <row r="19" spans="2:6" ht="93.75">
      <c r="B19" s="3">
        <v>15</v>
      </c>
      <c r="C19" s="12" t="s">
        <v>11</v>
      </c>
      <c r="D19" s="14" t="s">
        <v>8</v>
      </c>
      <c r="E19" s="24" t="str">
        <f t="shared" si="1"/>
        <v>✕</v>
      </c>
      <c r="F19" s="19" t="s">
        <v>24</v>
      </c>
    </row>
    <row r="20" spans="2:6">
      <c r="B20" s="3">
        <v>16</v>
      </c>
      <c r="C20" s="12" t="s">
        <v>6</v>
      </c>
      <c r="D20" s="2" t="s">
        <v>6</v>
      </c>
      <c r="E20" s="23" t="str">
        <f t="shared" si="1"/>
        <v>〇</v>
      </c>
      <c r="F20" s="19"/>
    </row>
    <row r="21" spans="2:6" ht="206.25">
      <c r="B21" s="3">
        <v>17</v>
      </c>
      <c r="C21" s="12" t="s">
        <v>20</v>
      </c>
      <c r="D21" s="14" t="s">
        <v>21</v>
      </c>
      <c r="E21" s="24" t="str">
        <f t="shared" si="1"/>
        <v>✕</v>
      </c>
      <c r="F21" s="19" t="s">
        <v>23</v>
      </c>
    </row>
    <row r="22" spans="2:6">
      <c r="B22" s="3">
        <v>18</v>
      </c>
      <c r="C22" s="12" t="s">
        <v>6</v>
      </c>
      <c r="D22" s="2" t="s">
        <v>6</v>
      </c>
      <c r="E22" s="23" t="str">
        <f t="shared" si="1"/>
        <v>〇</v>
      </c>
      <c r="F22" s="19"/>
    </row>
    <row r="23" spans="2:6">
      <c r="B23" s="3">
        <v>19</v>
      </c>
      <c r="C23" s="12" t="s">
        <v>6</v>
      </c>
      <c r="D23" s="2" t="s">
        <v>6</v>
      </c>
      <c r="E23" s="23" t="str">
        <f t="shared" si="1"/>
        <v>〇</v>
      </c>
      <c r="F23" s="19"/>
    </row>
    <row r="24" spans="2:6">
      <c r="B24" s="3">
        <v>20</v>
      </c>
      <c r="C24" s="12" t="s">
        <v>6</v>
      </c>
      <c r="D24" s="2" t="s">
        <v>6</v>
      </c>
      <c r="E24" s="23" t="str">
        <f t="shared" si="1"/>
        <v>〇</v>
      </c>
      <c r="F24" s="19" t="s">
        <v>22</v>
      </c>
    </row>
    <row r="25" spans="2:6">
      <c r="B25" s="3">
        <v>21</v>
      </c>
      <c r="C25" s="12" t="s">
        <v>20</v>
      </c>
      <c r="D25" s="14" t="s">
        <v>21</v>
      </c>
      <c r="E25" s="24" t="str">
        <f t="shared" si="1"/>
        <v>✕</v>
      </c>
      <c r="F25" s="19" t="s">
        <v>26</v>
      </c>
    </row>
    <row r="26" spans="2:6">
      <c r="B26" s="3">
        <v>22</v>
      </c>
      <c r="C26" s="12" t="s">
        <v>7</v>
      </c>
      <c r="D26" s="2" t="s">
        <v>7</v>
      </c>
      <c r="E26" s="23" t="str">
        <f t="shared" si="1"/>
        <v>〇</v>
      </c>
      <c r="F26" s="19"/>
    </row>
    <row r="27" spans="2:6" ht="56.25">
      <c r="B27" s="3">
        <v>23</v>
      </c>
      <c r="C27" s="12" t="s">
        <v>27</v>
      </c>
      <c r="D27" s="14" t="s">
        <v>28</v>
      </c>
      <c r="E27" s="24" t="str">
        <f t="shared" si="1"/>
        <v>✕</v>
      </c>
      <c r="F27" s="19" t="s">
        <v>29</v>
      </c>
    </row>
    <row r="28" spans="2:6">
      <c r="B28" s="3">
        <v>24</v>
      </c>
      <c r="C28" s="12" t="s">
        <v>6</v>
      </c>
      <c r="D28" s="2" t="s">
        <v>6</v>
      </c>
      <c r="E28" s="23" t="str">
        <f t="shared" si="1"/>
        <v>〇</v>
      </c>
      <c r="F28" s="19" t="s">
        <v>30</v>
      </c>
    </row>
    <row r="29" spans="2:6">
      <c r="B29" s="3">
        <v>25</v>
      </c>
      <c r="C29" s="12" t="s">
        <v>11</v>
      </c>
      <c r="D29" s="2" t="s">
        <v>11</v>
      </c>
      <c r="E29" s="23" t="str">
        <f t="shared" si="1"/>
        <v>〇</v>
      </c>
      <c r="F29" s="19" t="s">
        <v>31</v>
      </c>
    </row>
    <row r="30" spans="2:6">
      <c r="B30" s="3">
        <v>26</v>
      </c>
      <c r="C30" s="12" t="s">
        <v>6</v>
      </c>
      <c r="D30" s="2" t="s">
        <v>6</v>
      </c>
      <c r="E30" s="23" t="str">
        <f t="shared" si="1"/>
        <v>〇</v>
      </c>
      <c r="F30" s="19" t="s">
        <v>32</v>
      </c>
    </row>
    <row r="31" spans="2:6">
      <c r="B31" s="3">
        <v>27</v>
      </c>
      <c r="C31" s="12" t="s">
        <v>8</v>
      </c>
      <c r="D31" s="2" t="s">
        <v>8</v>
      </c>
      <c r="E31" s="23" t="str">
        <f t="shared" si="1"/>
        <v>〇</v>
      </c>
      <c r="F31" s="19"/>
    </row>
    <row r="32" spans="2:6" ht="150">
      <c r="B32" s="3">
        <v>28</v>
      </c>
      <c r="C32" s="12" t="s">
        <v>33</v>
      </c>
      <c r="D32" s="14" t="s">
        <v>35</v>
      </c>
      <c r="E32" s="24" t="str">
        <f t="shared" si="1"/>
        <v>✕</v>
      </c>
      <c r="F32" s="19" t="s">
        <v>34</v>
      </c>
    </row>
    <row r="33" spans="2:6" ht="37.5">
      <c r="B33" s="3">
        <v>29</v>
      </c>
      <c r="C33" s="12" t="s">
        <v>13</v>
      </c>
      <c r="D33" s="2" t="s">
        <v>13</v>
      </c>
      <c r="E33" s="23" t="str">
        <f t="shared" si="1"/>
        <v>〇</v>
      </c>
      <c r="F33" s="19" t="s">
        <v>36</v>
      </c>
    </row>
    <row r="34" spans="2:6">
      <c r="B34" s="3">
        <v>30</v>
      </c>
      <c r="C34" s="12" t="s">
        <v>11</v>
      </c>
      <c r="D34" s="2" t="s">
        <v>11</v>
      </c>
      <c r="E34" s="23" t="str">
        <f t="shared" si="1"/>
        <v>〇</v>
      </c>
      <c r="F34" s="19"/>
    </row>
    <row r="35" spans="2:6">
      <c r="B35" s="3">
        <v>31</v>
      </c>
      <c r="C35" s="12" t="s">
        <v>11</v>
      </c>
      <c r="D35" s="2" t="s">
        <v>11</v>
      </c>
      <c r="E35" s="23" t="str">
        <f t="shared" si="1"/>
        <v>〇</v>
      </c>
      <c r="F35" s="19"/>
    </row>
    <row r="36" spans="2:6" ht="93.75">
      <c r="B36" s="3">
        <v>32</v>
      </c>
      <c r="C36" s="12" t="s">
        <v>7</v>
      </c>
      <c r="D36" s="2" t="s">
        <v>7</v>
      </c>
      <c r="E36" s="23" t="str">
        <f t="shared" si="1"/>
        <v>〇</v>
      </c>
      <c r="F36" s="19" t="s">
        <v>37</v>
      </c>
    </row>
    <row r="37" spans="2:6" ht="37.5">
      <c r="B37" s="3">
        <v>33</v>
      </c>
      <c r="C37" s="12" t="s">
        <v>6</v>
      </c>
      <c r="D37" s="27" t="s">
        <v>9</v>
      </c>
      <c r="E37" s="28" t="str">
        <f t="shared" si="1"/>
        <v>✕</v>
      </c>
      <c r="F37" s="19" t="s">
        <v>38</v>
      </c>
    </row>
    <row r="38" spans="2:6">
      <c r="B38" s="3">
        <v>34</v>
      </c>
      <c r="C38" s="12" t="s">
        <v>7</v>
      </c>
      <c r="D38" s="2" t="s">
        <v>7</v>
      </c>
      <c r="E38" s="23" t="str">
        <f t="shared" si="1"/>
        <v>〇</v>
      </c>
      <c r="F38" s="19"/>
    </row>
    <row r="39" spans="2:6">
      <c r="B39" s="3">
        <v>35</v>
      </c>
      <c r="C39" s="12" t="s">
        <v>7</v>
      </c>
      <c r="D39" s="2" t="s">
        <v>7</v>
      </c>
      <c r="E39" s="23" t="str">
        <f t="shared" si="1"/>
        <v>〇</v>
      </c>
      <c r="F39" s="19" t="s">
        <v>39</v>
      </c>
    </row>
    <row r="40" spans="2:6">
      <c r="B40" s="3">
        <v>36</v>
      </c>
      <c r="C40" s="12" t="s">
        <v>7</v>
      </c>
      <c r="D40" s="2" t="s">
        <v>7</v>
      </c>
      <c r="E40" s="23" t="str">
        <f t="shared" si="1"/>
        <v>〇</v>
      </c>
      <c r="F40" s="19"/>
    </row>
    <row r="41" spans="2:6">
      <c r="B41" s="3">
        <v>37</v>
      </c>
      <c r="C41" s="12" t="s">
        <v>40</v>
      </c>
      <c r="D41" s="2" t="s">
        <v>40</v>
      </c>
      <c r="E41" s="23" t="str">
        <f t="shared" si="1"/>
        <v>〇</v>
      </c>
      <c r="F41" s="19"/>
    </row>
    <row r="42" spans="2:6">
      <c r="B42" s="3">
        <v>38</v>
      </c>
      <c r="C42" s="12" t="s">
        <v>6</v>
      </c>
      <c r="D42" s="2" t="s">
        <v>6</v>
      </c>
      <c r="E42" s="23" t="str">
        <f t="shared" si="1"/>
        <v>〇</v>
      </c>
      <c r="F42" s="19"/>
    </row>
    <row r="43" spans="2:6">
      <c r="B43" s="3">
        <v>39</v>
      </c>
      <c r="C43" s="12" t="s">
        <v>8</v>
      </c>
      <c r="D43" s="2" t="s">
        <v>8</v>
      </c>
      <c r="E43" s="23" t="str">
        <f t="shared" si="1"/>
        <v>〇</v>
      </c>
      <c r="F43" s="19"/>
    </row>
    <row r="44" spans="2:6">
      <c r="B44" s="3">
        <v>40</v>
      </c>
      <c r="C44" s="12" t="s">
        <v>11</v>
      </c>
      <c r="D44" s="2" t="s">
        <v>11</v>
      </c>
      <c r="E44" s="23" t="str">
        <f t="shared" si="1"/>
        <v>〇</v>
      </c>
      <c r="F44" s="19"/>
    </row>
    <row r="45" spans="2:6">
      <c r="B45" s="3">
        <v>41</v>
      </c>
      <c r="C45" s="12" t="s">
        <v>11</v>
      </c>
      <c r="D45" s="2" t="s">
        <v>11</v>
      </c>
      <c r="E45" s="23" t="str">
        <f t="shared" si="1"/>
        <v>〇</v>
      </c>
      <c r="F45" s="19"/>
    </row>
    <row r="46" spans="2:6">
      <c r="B46" s="3">
        <v>42</v>
      </c>
      <c r="C46" s="12" t="s">
        <v>11</v>
      </c>
      <c r="D46" s="2" t="s">
        <v>11</v>
      </c>
      <c r="E46" s="23" t="str">
        <f t="shared" si="1"/>
        <v>〇</v>
      </c>
      <c r="F46" s="19" t="s">
        <v>42</v>
      </c>
    </row>
    <row r="47" spans="2:6">
      <c r="B47" s="3">
        <v>43</v>
      </c>
      <c r="C47" s="12" t="s">
        <v>6</v>
      </c>
      <c r="D47" s="2" t="s">
        <v>6</v>
      </c>
      <c r="E47" s="23" t="str">
        <f t="shared" si="1"/>
        <v>〇</v>
      </c>
      <c r="F47" s="19" t="s">
        <v>43</v>
      </c>
    </row>
    <row r="48" spans="2:6">
      <c r="B48" s="3">
        <v>44</v>
      </c>
      <c r="C48" s="12" t="s">
        <v>9</v>
      </c>
      <c r="D48" s="2" t="s">
        <v>9</v>
      </c>
      <c r="E48" s="23" t="str">
        <f t="shared" si="1"/>
        <v>〇</v>
      </c>
      <c r="F48" s="19" t="s">
        <v>44</v>
      </c>
    </row>
    <row r="49" spans="2:6">
      <c r="B49" s="3">
        <v>45</v>
      </c>
      <c r="C49" s="12" t="s">
        <v>8</v>
      </c>
      <c r="D49" s="2" t="s">
        <v>8</v>
      </c>
      <c r="E49" s="23" t="str">
        <f t="shared" si="1"/>
        <v>〇</v>
      </c>
      <c r="F49" s="19"/>
    </row>
    <row r="50" spans="2:6">
      <c r="B50" s="3">
        <v>46</v>
      </c>
      <c r="C50" s="12" t="s">
        <v>7</v>
      </c>
      <c r="D50" s="2" t="s">
        <v>7</v>
      </c>
      <c r="E50" s="23" t="str">
        <f t="shared" si="1"/>
        <v>〇</v>
      </c>
      <c r="F50" s="19" t="s">
        <v>41</v>
      </c>
    </row>
    <row r="51" spans="2:6">
      <c r="B51" s="3">
        <v>47</v>
      </c>
      <c r="C51" s="12" t="s">
        <v>7</v>
      </c>
      <c r="D51" s="2" t="s">
        <v>7</v>
      </c>
      <c r="E51" s="23" t="str">
        <f t="shared" si="1"/>
        <v>〇</v>
      </c>
      <c r="F51" s="19"/>
    </row>
    <row r="52" spans="2:6">
      <c r="B52" s="3">
        <v>48</v>
      </c>
      <c r="C52" s="12" t="s">
        <v>7</v>
      </c>
      <c r="D52" s="2" t="s">
        <v>7</v>
      </c>
      <c r="E52" s="23" t="str">
        <f t="shared" si="1"/>
        <v>〇</v>
      </c>
      <c r="F52" s="19" t="s">
        <v>45</v>
      </c>
    </row>
    <row r="53" spans="2:6">
      <c r="B53" s="3">
        <v>49</v>
      </c>
      <c r="C53" s="12" t="s">
        <v>7</v>
      </c>
      <c r="D53" s="2" t="s">
        <v>7</v>
      </c>
      <c r="E53" s="23" t="str">
        <f t="shared" si="1"/>
        <v>〇</v>
      </c>
      <c r="F53" s="19"/>
    </row>
    <row r="54" spans="2:6">
      <c r="B54" s="3">
        <v>50</v>
      </c>
      <c r="C54" s="12" t="s">
        <v>6</v>
      </c>
      <c r="D54" s="2" t="s">
        <v>6</v>
      </c>
      <c r="E54" s="23" t="str">
        <f t="shared" si="1"/>
        <v>〇</v>
      </c>
      <c r="F54" s="19"/>
    </row>
    <row r="55" spans="2:6">
      <c r="B55" s="3">
        <v>51</v>
      </c>
      <c r="C55" s="12" t="s">
        <v>46</v>
      </c>
      <c r="D55" s="2" t="s">
        <v>46</v>
      </c>
      <c r="E55" s="23" t="str">
        <f t="shared" si="1"/>
        <v>〇</v>
      </c>
      <c r="F55" s="19" t="s">
        <v>47</v>
      </c>
    </row>
    <row r="56" spans="2:6">
      <c r="B56" s="3">
        <v>52</v>
      </c>
      <c r="C56" s="12" t="s">
        <v>6</v>
      </c>
      <c r="D56" s="27" t="s">
        <v>11</v>
      </c>
      <c r="E56" s="28" t="str">
        <f t="shared" si="1"/>
        <v>✕</v>
      </c>
      <c r="F56" s="19"/>
    </row>
    <row r="57" spans="2:6">
      <c r="B57" s="3">
        <v>53</v>
      </c>
      <c r="C57" s="12" t="s">
        <v>7</v>
      </c>
      <c r="D57" s="2" t="s">
        <v>7</v>
      </c>
      <c r="E57" s="23" t="str">
        <f t="shared" si="1"/>
        <v>〇</v>
      </c>
      <c r="F57" s="19"/>
    </row>
    <row r="58" spans="2:6">
      <c r="B58" s="3">
        <v>54</v>
      </c>
      <c r="C58" s="12" t="s">
        <v>6</v>
      </c>
      <c r="D58" s="2" t="s">
        <v>6</v>
      </c>
      <c r="E58" s="23" t="str">
        <f t="shared" si="1"/>
        <v>〇</v>
      </c>
      <c r="F58" s="19"/>
    </row>
    <row r="59" spans="2:6">
      <c r="B59" s="3">
        <v>55</v>
      </c>
      <c r="C59" s="12" t="s">
        <v>48</v>
      </c>
      <c r="D59" s="2" t="s">
        <v>48</v>
      </c>
      <c r="E59" s="23" t="str">
        <f t="shared" si="1"/>
        <v>〇</v>
      </c>
      <c r="F59" s="19"/>
    </row>
    <row r="60" spans="2:6">
      <c r="B60" s="3">
        <v>56</v>
      </c>
      <c r="C60" s="12" t="s">
        <v>8</v>
      </c>
      <c r="D60" s="2" t="s">
        <v>8</v>
      </c>
      <c r="E60" s="23" t="str">
        <f t="shared" si="1"/>
        <v>〇</v>
      </c>
      <c r="F60" s="19"/>
    </row>
    <row r="61" spans="2:6">
      <c r="B61" s="3">
        <v>57</v>
      </c>
      <c r="C61" s="12" t="s">
        <v>6</v>
      </c>
      <c r="D61" s="27" t="s">
        <v>11</v>
      </c>
      <c r="E61" s="28" t="str">
        <f t="shared" si="1"/>
        <v>✕</v>
      </c>
      <c r="F61" s="19" t="s">
        <v>49</v>
      </c>
    </row>
    <row r="62" spans="2:6">
      <c r="B62" s="3">
        <v>58</v>
      </c>
      <c r="C62" s="12" t="s">
        <v>11</v>
      </c>
      <c r="D62" s="27" t="s">
        <v>7</v>
      </c>
      <c r="E62" s="28" t="str">
        <f t="shared" si="1"/>
        <v>✕</v>
      </c>
      <c r="F62" s="19" t="s">
        <v>50</v>
      </c>
    </row>
    <row r="63" spans="2:6">
      <c r="B63" s="3">
        <v>59</v>
      </c>
      <c r="C63" s="12" t="s">
        <v>11</v>
      </c>
      <c r="D63" s="27" t="s">
        <v>7</v>
      </c>
      <c r="E63" s="28" t="str">
        <f t="shared" si="1"/>
        <v>✕</v>
      </c>
      <c r="F63" s="19" t="s">
        <v>51</v>
      </c>
    </row>
    <row r="64" spans="2:6">
      <c r="B64" s="3">
        <v>60</v>
      </c>
      <c r="C64" s="12" t="s">
        <v>11</v>
      </c>
      <c r="D64" s="2" t="s">
        <v>11</v>
      </c>
      <c r="E64" s="23" t="str">
        <f t="shared" si="1"/>
        <v>〇</v>
      </c>
      <c r="F64" s="19"/>
    </row>
    <row r="65" spans="2:6">
      <c r="B65" s="3">
        <v>61</v>
      </c>
      <c r="C65" s="12" t="s">
        <v>7</v>
      </c>
      <c r="D65" s="2" t="s">
        <v>7</v>
      </c>
      <c r="E65" s="23" t="str">
        <f t="shared" si="1"/>
        <v>〇</v>
      </c>
      <c r="F65" s="19" t="s">
        <v>52</v>
      </c>
    </row>
    <row r="66" spans="2:6">
      <c r="B66" s="3">
        <v>62</v>
      </c>
      <c r="C66" s="12" t="s">
        <v>7</v>
      </c>
      <c r="D66" s="2" t="s">
        <v>7</v>
      </c>
      <c r="E66" s="23" t="str">
        <f t="shared" si="1"/>
        <v>〇</v>
      </c>
      <c r="F66" s="19"/>
    </row>
    <row r="67" spans="2:6">
      <c r="B67" s="3">
        <v>63</v>
      </c>
      <c r="C67" s="12" t="s">
        <v>7</v>
      </c>
      <c r="D67" s="27" t="s">
        <v>11</v>
      </c>
      <c r="E67" s="28" t="str">
        <f t="shared" si="1"/>
        <v>✕</v>
      </c>
      <c r="F67" s="19"/>
    </row>
    <row r="68" spans="2:6">
      <c r="B68" s="3">
        <v>64</v>
      </c>
      <c r="C68" s="12" t="s">
        <v>11</v>
      </c>
      <c r="D68" s="2" t="s">
        <v>11</v>
      </c>
      <c r="E68" s="23" t="str">
        <f t="shared" si="1"/>
        <v>〇</v>
      </c>
      <c r="F68" s="19"/>
    </row>
    <row r="69" spans="2:6">
      <c r="B69" s="3">
        <v>65</v>
      </c>
      <c r="C69" s="12" t="s">
        <v>7</v>
      </c>
      <c r="D69" s="2" t="s">
        <v>7</v>
      </c>
      <c r="E69" s="23" t="str">
        <f t="shared" si="1"/>
        <v>〇</v>
      </c>
      <c r="F69" s="19"/>
    </row>
    <row r="70" spans="2:6">
      <c r="B70" s="3">
        <v>66</v>
      </c>
      <c r="C70" s="12" t="s">
        <v>6</v>
      </c>
      <c r="D70" s="2" t="s">
        <v>6</v>
      </c>
      <c r="E70" s="23" t="str">
        <f t="shared" si="1"/>
        <v>〇</v>
      </c>
      <c r="F70" s="19"/>
    </row>
    <row r="71" spans="2:6">
      <c r="B71" s="3">
        <v>67</v>
      </c>
      <c r="C71" s="12" t="s">
        <v>7</v>
      </c>
      <c r="D71" s="2" t="s">
        <v>7</v>
      </c>
      <c r="E71" s="23" t="str">
        <f t="shared" si="1"/>
        <v>〇</v>
      </c>
      <c r="F71" s="19"/>
    </row>
    <row r="72" spans="2:6">
      <c r="B72" s="3">
        <v>68</v>
      </c>
      <c r="C72" s="12" t="s">
        <v>21</v>
      </c>
      <c r="D72" s="2" t="s">
        <v>21</v>
      </c>
      <c r="E72" s="23" t="str">
        <f t="shared" si="1"/>
        <v>〇</v>
      </c>
      <c r="F72" s="19" t="s">
        <v>54</v>
      </c>
    </row>
    <row r="73" spans="2:6">
      <c r="B73" s="3">
        <v>69</v>
      </c>
      <c r="C73" s="12" t="s">
        <v>8</v>
      </c>
      <c r="D73" s="14" t="s">
        <v>6</v>
      </c>
      <c r="E73" s="24" t="str">
        <f t="shared" si="1"/>
        <v>✕</v>
      </c>
      <c r="F73" s="19" t="s">
        <v>53</v>
      </c>
    </row>
    <row r="74" spans="2:6">
      <c r="B74" s="3">
        <v>70</v>
      </c>
      <c r="C74" s="12" t="s">
        <v>11</v>
      </c>
      <c r="D74" s="2" t="s">
        <v>11</v>
      </c>
      <c r="E74" s="23" t="str">
        <f t="shared" si="1"/>
        <v>〇</v>
      </c>
      <c r="F74" s="19"/>
    </row>
    <row r="75" spans="2:6">
      <c r="B75" s="3">
        <v>71</v>
      </c>
      <c r="C75" s="12" t="s">
        <v>6</v>
      </c>
      <c r="D75" s="2" t="s">
        <v>6</v>
      </c>
      <c r="E75" s="23" t="str">
        <f t="shared" si="1"/>
        <v>〇</v>
      </c>
      <c r="F75" s="19"/>
    </row>
    <row r="76" spans="2:6" ht="37.5">
      <c r="B76" s="3">
        <v>72</v>
      </c>
      <c r="C76" s="12" t="s">
        <v>8</v>
      </c>
      <c r="D76" s="2" t="s">
        <v>8</v>
      </c>
      <c r="E76" s="23" t="str">
        <f t="shared" si="1"/>
        <v>〇</v>
      </c>
      <c r="F76" s="19" t="s">
        <v>55</v>
      </c>
    </row>
    <row r="77" spans="2:6">
      <c r="B77" s="3">
        <v>73</v>
      </c>
      <c r="C77" s="12" t="s">
        <v>8</v>
      </c>
      <c r="D77" s="2" t="s">
        <v>8</v>
      </c>
      <c r="E77" s="23" t="str">
        <f t="shared" si="1"/>
        <v>〇</v>
      </c>
      <c r="F77" s="19"/>
    </row>
    <row r="78" spans="2:6">
      <c r="B78" s="3">
        <v>74</v>
      </c>
      <c r="C78" s="12" t="s">
        <v>6</v>
      </c>
      <c r="D78" s="2" t="s">
        <v>6</v>
      </c>
      <c r="E78" s="23" t="str">
        <f t="shared" si="1"/>
        <v>〇</v>
      </c>
      <c r="F78" s="19"/>
    </row>
    <row r="79" spans="2:6">
      <c r="B79" s="3">
        <v>75</v>
      </c>
      <c r="C79" s="12" t="s">
        <v>8</v>
      </c>
      <c r="D79" s="2" t="s">
        <v>8</v>
      </c>
      <c r="E79" s="23" t="str">
        <f t="shared" si="1"/>
        <v>〇</v>
      </c>
      <c r="F79" s="19"/>
    </row>
    <row r="80" spans="2:6">
      <c r="B80" s="3">
        <v>76</v>
      </c>
      <c r="C80" s="12" t="s">
        <v>8</v>
      </c>
      <c r="D80" s="2" t="s">
        <v>8</v>
      </c>
      <c r="E80" s="23" t="str">
        <f t="shared" ref="E80:E84" si="2">IF(C80="","",(IF(D80="","",IF(C80=D80,"〇","✕"))))</f>
        <v>〇</v>
      </c>
      <c r="F80" s="19"/>
    </row>
    <row r="81" spans="2:6">
      <c r="B81" s="3">
        <v>77</v>
      </c>
      <c r="C81" s="12" t="s">
        <v>9</v>
      </c>
      <c r="D81" s="2" t="s">
        <v>9</v>
      </c>
      <c r="E81" s="23" t="str">
        <f t="shared" si="2"/>
        <v>〇</v>
      </c>
      <c r="F81" s="19" t="s">
        <v>56</v>
      </c>
    </row>
    <row r="82" spans="2:6">
      <c r="B82" s="3">
        <v>78</v>
      </c>
      <c r="C82" s="12" t="s">
        <v>13</v>
      </c>
      <c r="D82" s="2" t="s">
        <v>13</v>
      </c>
      <c r="E82" s="23" t="str">
        <f t="shared" si="2"/>
        <v>〇</v>
      </c>
      <c r="F82" s="19" t="s">
        <v>57</v>
      </c>
    </row>
    <row r="83" spans="2:6">
      <c r="B83" s="3">
        <v>79</v>
      </c>
      <c r="C83" s="12" t="s">
        <v>13</v>
      </c>
      <c r="D83" s="14" t="s">
        <v>20</v>
      </c>
      <c r="E83" s="24" t="str">
        <f t="shared" si="2"/>
        <v>✕</v>
      </c>
      <c r="F83" s="19"/>
    </row>
    <row r="84" spans="2:6" ht="19.5" thickBot="1">
      <c r="B84" s="4">
        <v>80</v>
      </c>
      <c r="C84" s="13" t="s">
        <v>7</v>
      </c>
      <c r="D84" s="9" t="s">
        <v>7</v>
      </c>
      <c r="E84" s="25" t="str">
        <f t="shared" si="2"/>
        <v>〇</v>
      </c>
      <c r="F84" s="20"/>
    </row>
  </sheetData>
  <phoneticPr fontId="1"/>
  <conditionalFormatting sqref="E3">
    <cfRule type="cellIs" dxfId="2" priority="1" operator="lessThanOrEqual">
      <formula>0.629</formula>
    </cfRule>
    <cfRule type="cellIs" dxfId="1" priority="2" operator="between">
      <formula>0.699</formula>
      <formula>0.633</formula>
    </cfRule>
    <cfRule type="cellIs" dxfId="0" priority="3" operator="greaterThanOrEqual">
      <formula>0.7</formula>
    </cfRule>
  </conditionalFormatting>
  <pageMargins left="0.70866141732283472" right="0.70866141732283472" top="0.74803149606299213" bottom="0.74803149606299213" header="0.31496062992125984" footer="0.31496062992125984"/>
  <pageSetup paperSize="9" scale="71" fitToHeight="0" orientation="portrait" r:id="rId1"/>
  <headerFooter>
    <oddFooter>&amp;F&amp;R&amp;P ページ</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2</vt:i4>
      </vt:variant>
    </vt:vector>
  </HeadingPairs>
  <TitlesOfParts>
    <vt:vector size="3" baseType="lpstr">
      <vt:lpstr>Sheet1</vt:lpstr>
      <vt:lpstr>Sheet1!Print_Area</vt:lpstr>
      <vt:lpstr>Sheet1!Print_Titles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Ashley Tisdale</dc:creator>
  <cp:lastModifiedBy>Ashley Tisdale</cp:lastModifiedBy>
  <cp:lastPrinted>2026-06-24T08:24:47Z</cp:lastPrinted>
  <dcterms:created xsi:type="dcterms:W3CDTF">2015-06-05T18:19:34Z</dcterms:created>
  <dcterms:modified xsi:type="dcterms:W3CDTF">2026-07-11T09:57:20Z</dcterms:modified>
</cp:coreProperties>
</file>